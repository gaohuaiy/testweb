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s\huaiyu.gao\Documents\WeChat Files\wxid_u39dx5s41bvj22\FileStorage\File\2020-11\"/>
    </mc:Choice>
  </mc:AlternateContent>
  <bookViews>
    <workbookView xWindow="-120" yWindow="-120" windowWidth="20730" windowHeight="11160"/>
  </bookViews>
  <sheets>
    <sheet name="Sheet1" sheetId="1" r:id="rId1"/>
    <sheet name="Sheet2" sheetId="2" r:id="rId2"/>
    <sheet name="Sheet3" sheetId="3" r:id="rId3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J2" i="3" l="1"/>
</calcChain>
</file>

<file path=xl/sharedStrings.xml><?xml version="1.0" encoding="utf-8"?>
<sst xmlns="http://schemas.openxmlformats.org/spreadsheetml/2006/main" count="145" uniqueCount="66">
  <si>
    <t>Call</t>
  </si>
  <si>
    <t>买入</t>
  </si>
  <si>
    <t>down_and_out</t>
  </si>
  <si>
    <t>期末支付</t>
  </si>
  <si>
    <t>行权开始日</t>
    <phoneticPr fontId="1" type="noConversion"/>
  </si>
  <si>
    <t>行权结束日</t>
    <phoneticPr fontId="1" type="noConversion"/>
  </si>
  <si>
    <t>美式行权</t>
  </si>
  <si>
    <t>交易方向</t>
  </si>
  <si>
    <t>交易方向</t>
    <phoneticPr fontId="1" type="noConversion"/>
  </si>
  <si>
    <t>行权价(元)</t>
  </si>
  <si>
    <t>期权类型</t>
  </si>
  <si>
    <t>行权比例(%)</t>
  </si>
  <si>
    <t>参与率(%)</t>
  </si>
  <si>
    <t>年化天数</t>
  </si>
  <si>
    <t>补偿支付时机</t>
  </si>
  <si>
    <t>障碍方向</t>
  </si>
  <si>
    <t>补偿收益率(%)</t>
  </si>
  <si>
    <t>障碍水平</t>
  </si>
  <si>
    <t>观察日</t>
  </si>
  <si>
    <t>观察开始日</t>
  </si>
  <si>
    <t>观察结束日</t>
  </si>
  <si>
    <t>障碍水平比例</t>
  </si>
  <si>
    <t>支付水平(%)</t>
  </si>
  <si>
    <t>删除</t>
    <phoneticPr fontId="1" type="noConversion"/>
  </si>
  <si>
    <t>定价参数</t>
    <phoneticPr fontId="1" type="noConversion"/>
  </si>
  <si>
    <t>贴现率(%)</t>
    <phoneticPr fontId="1" type="noConversion"/>
  </si>
  <si>
    <t>融资率(%)</t>
    <phoneticPr fontId="1" type="noConversion"/>
  </si>
  <si>
    <t>红利率(%)</t>
    <phoneticPr fontId="1" type="noConversion"/>
  </si>
  <si>
    <t>波动率(%)</t>
    <phoneticPr fontId="1" type="noConversion"/>
  </si>
  <si>
    <t>计算结果</t>
    <phoneticPr fontId="1" type="noConversion"/>
  </si>
  <si>
    <t>delta</t>
    <phoneticPr fontId="1" type="noConversion"/>
  </si>
  <si>
    <t>vega</t>
    <phoneticPr fontId="1" type="noConversion"/>
  </si>
  <si>
    <t>theta</t>
    <phoneticPr fontId="1" type="noConversion"/>
  </si>
  <si>
    <t>gamma</t>
    <phoneticPr fontId="1" type="noConversion"/>
  </si>
  <si>
    <t>rho</t>
    <phoneticPr fontId="1" type="noConversion"/>
  </si>
  <si>
    <t>leg1</t>
    <phoneticPr fontId="1" type="noConversion"/>
  </si>
  <si>
    <t>leg2</t>
    <phoneticPr fontId="1" type="noConversion"/>
  </si>
  <si>
    <t>sum</t>
    <phoneticPr fontId="1" type="noConversion"/>
  </si>
  <si>
    <t>年化支付水平(%)</t>
    <phoneticPr fontId="1" type="noConversion"/>
  </si>
  <si>
    <t>定价引擎</t>
    <phoneticPr fontId="1" type="noConversion"/>
  </si>
  <si>
    <t>BS-0</t>
    <phoneticPr fontId="1" type="noConversion"/>
  </si>
  <si>
    <t>年化支付水平(%)</t>
    <phoneticPr fontId="1" type="noConversion"/>
  </si>
  <si>
    <t>(普通期权)</t>
    <phoneticPr fontId="1" type="noConversion"/>
  </si>
  <si>
    <t>(亚式期权)</t>
    <phoneticPr fontId="1" type="noConversion"/>
  </si>
  <si>
    <t>(障碍期权)</t>
    <phoneticPr fontId="1" type="noConversion"/>
  </si>
  <si>
    <t>(一次触碰期权)</t>
    <phoneticPr fontId="1" type="noConversion"/>
  </si>
  <si>
    <t>(多触碰点障碍期权)</t>
    <phoneticPr fontId="1" type="noConversion"/>
  </si>
  <si>
    <t>(二元期权)</t>
    <phoneticPr fontId="1" type="noConversion"/>
  </si>
  <si>
    <t>基础要素</t>
    <phoneticPr fontId="1" type="noConversion"/>
  </si>
  <si>
    <t>标的代码</t>
    <phoneticPr fontId="1" type="noConversion"/>
  </si>
  <si>
    <t>起始日</t>
    <phoneticPr fontId="1" type="noConversion"/>
  </si>
  <si>
    <t>标的名称</t>
    <phoneticPr fontId="1" type="noConversion"/>
  </si>
  <si>
    <t>到期日</t>
    <phoneticPr fontId="1" type="noConversion"/>
  </si>
  <si>
    <t>名义本金</t>
    <phoneticPr fontId="1" type="noConversion"/>
  </si>
  <si>
    <t>行权方式</t>
    <phoneticPr fontId="1" type="noConversion"/>
  </si>
  <si>
    <t>初始价格</t>
    <phoneticPr fontId="1" type="noConversion"/>
  </si>
  <si>
    <t>交易份数</t>
    <phoneticPr fontId="1" type="noConversion"/>
  </si>
  <si>
    <t>交易方向</t>
    <phoneticPr fontId="1" type="noConversion"/>
  </si>
  <si>
    <t>000002</t>
    <phoneticPr fontId="1" type="noConversion"/>
  </si>
  <si>
    <t>万科A</t>
    <phoneticPr fontId="1" type="noConversion"/>
  </si>
  <si>
    <t>2018-12-28,2019-03-30</t>
    <phoneticPr fontId="1" type="noConversion"/>
  </si>
  <si>
    <t>Call</t>
    <phoneticPr fontId="1" type="noConversion"/>
  </si>
  <si>
    <t>Call</t>
    <phoneticPr fontId="1" type="noConversion"/>
  </si>
  <si>
    <t>上证综合指数</t>
  </si>
  <si>
    <t>平安银行</t>
  </si>
  <si>
    <t>http://191.168.0.93:8070/manage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</si>
</sst>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0"/>
    <numFmt numFmtId="177" formatCode="[$-17804]yyyy\-mm\-dd;@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charset val="134"/>
      <scheme val="minor"/>
    </font>
    <font>
      <b/>
      <sz val="10"/>
      <color theme="0"/>
      <name val="等线"/>
      <charset val="134"/>
      <scheme val="minor"/>
    </font>
    <font>
      <b/>
      <sz val="10"/>
      <color rgb="FFFF0000"/>
      <name val="等线"/>
      <charset val="134"/>
      <scheme val="minor"/>
    </font>
    <font>
      <b/>
      <sz val="10"/>
      <color theme="1"/>
      <name val="等线"/>
      <charset val="134"/>
      <scheme val="minor"/>
    </font>
    <font>
      <b/>
      <sz val="1"/>
      <color theme="4" tint="-0.249977111117893"/>
      <name val="等线"/>
      <charset val="134"/>
      <scheme val="minor"/>
    </font>
    <font>
      <sz val="10"/>
      <color theme="0"/>
      <name val="等线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9">
    <xf numFmtId="0" fontId="0" fillId="0" borderId="0" xfId="0">
      <alignment vertical="center"/>
    </xf>
    <xf numFmtId="0" fontId="3" fillId="6" borderId="0" xfId="0" applyFont="1" applyFill="1">
      <alignment vertical="center"/>
    </xf>
    <xf numFmtId="0" fontId="4" fillId="2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 applyProtection="1">
      <alignment horizontal="right" vertical="center"/>
      <protection locked="0"/>
    </xf>
    <xf numFmtId="176" fontId="4" fillId="0" borderId="1" xfId="0" applyNumberFormat="1" applyFont="1" applyBorder="1" applyAlignment="1">
      <alignment horizontal="right" vertical="center"/>
    </xf>
    <xf numFmtId="2" fontId="4" fillId="0" borderId="1" xfId="0" applyNumberFormat="1" applyFont="1" applyBorder="1" applyAlignment="1" applyProtection="1">
      <alignment horizontal="right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right" vertical="center"/>
    </xf>
    <xf numFmtId="0" fontId="4" fillId="6" borderId="0" xfId="0" applyFont="1" applyFill="1" applyAlignment="1">
      <alignment horizontal="right" vertical="center"/>
    </xf>
    <xf numFmtId="0" fontId="4" fillId="6" borderId="3" xfId="0" applyFont="1" applyFill="1" applyBorder="1" applyAlignment="1">
      <alignment horizontal="right" vertical="center"/>
    </xf>
    <xf numFmtId="0" fontId="4" fillId="6" borderId="1" xfId="0" applyFont="1" applyFill="1" applyBorder="1">
      <alignment vertical="center"/>
    </xf>
    <xf numFmtId="0" fontId="4" fillId="5" borderId="1" xfId="0" applyFont="1" applyFill="1" applyBorder="1" applyAlignment="1">
      <alignment horizontal="right" vertical="center"/>
    </xf>
    <xf numFmtId="0" fontId="4" fillId="5" borderId="3" xfId="0" applyFont="1" applyFill="1" applyBorder="1" applyAlignment="1">
      <alignment horizontal="right" vertical="center"/>
    </xf>
    <xf numFmtId="0" fontId="4" fillId="5" borderId="1" xfId="0" applyFont="1" applyFill="1" applyBorder="1" applyAlignment="1">
      <alignment horizontal="center" vertical="center"/>
    </xf>
    <xf numFmtId="176" fontId="4" fillId="6" borderId="1" xfId="0" applyNumberFormat="1" applyFont="1" applyFill="1" applyBorder="1" applyAlignment="1">
      <alignment horizontal="right" vertical="center"/>
    </xf>
    <xf numFmtId="0" fontId="8" fillId="3" borderId="4" xfId="0" applyFont="1" applyFill="1" applyBorder="1">
      <alignment vertical="center"/>
    </xf>
    <xf numFmtId="0" fontId="0" fillId="6" borderId="0" xfId="0" applyFill="1">
      <alignment vertical="center"/>
    </xf>
    <xf numFmtId="2" fontId="4" fillId="0" borderId="1" xfId="0" applyNumberFormat="1" applyFont="1" applyBorder="1" applyAlignment="1">
      <alignment horizontal="right" vertical="center"/>
    </xf>
    <xf numFmtId="0" fontId="4" fillId="7" borderId="1" xfId="0" applyFont="1" applyFill="1" applyBorder="1" applyAlignment="1">
      <alignment horizontal="right" vertical="center"/>
    </xf>
    <xf numFmtId="49" fontId="4" fillId="0" borderId="1" xfId="0" quotePrefix="1" applyNumberFormat="1" applyFont="1" applyBorder="1" applyAlignment="1">
      <alignment horizontal="right"/>
    </xf>
    <xf numFmtId="177" fontId="4" fillId="0" borderId="1" xfId="0" quotePrefix="1" applyNumberFormat="1" applyFont="1" applyBorder="1" applyAlignment="1">
      <alignment horizontal="right"/>
    </xf>
    <xf numFmtId="0" fontId="4" fillId="2" borderId="2" xfId="0" applyFont="1" applyFill="1" applyBorder="1" applyAlignment="1">
      <alignment horizontal="right" vertical="center"/>
    </xf>
    <xf numFmtId="0" fontId="4" fillId="0" borderId="8" xfId="0" applyFont="1" applyBorder="1" applyAlignment="1">
      <alignment horizontal="right" vertical="center"/>
    </xf>
    <xf numFmtId="0" fontId="4" fillId="2" borderId="8" xfId="0" applyFont="1" applyFill="1" applyBorder="1" applyAlignment="1">
      <alignment horizontal="right" vertical="center"/>
    </xf>
    <xf numFmtId="176" fontId="4" fillId="0" borderId="8" xfId="0" applyNumberFormat="1" applyFont="1" applyBorder="1" applyAlignment="1">
      <alignment horizontal="right" vertical="center"/>
    </xf>
    <xf numFmtId="0" fontId="9" fillId="6" borderId="0" xfId="0" applyFont="1" applyFill="1">
      <alignment vertical="center"/>
    </xf>
    <xf numFmtId="0" fontId="5" fillId="8" borderId="6" xfId="0" applyFont="1" applyFill="1" applyBorder="1" applyAlignment="1">
      <alignment horizontal="left" vertical="center"/>
    </xf>
    <xf numFmtId="0" fontId="5" fillId="8" borderId="7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/>
    </xf>
    <xf numFmtId="49" fontId="4" fillId="0" borderId="2" xfId="0" quotePrefix="1" applyNumberFormat="1" applyFont="1" applyBorder="1" applyAlignment="1">
      <alignment horizontal="left"/>
    </xf>
    <xf numFmtId="49" fontId="4" fillId="0" borderId="5" xfId="0" quotePrefix="1" applyNumberFormat="1" applyFont="1" applyBorder="1" applyAlignment="1">
      <alignment horizontal="left"/>
    </xf>
    <xf numFmtId="49" fontId="4" fillId="0" borderId="4" xfId="0" quotePrefix="1" applyNumberFormat="1" applyFont="1" applyBorder="1" applyAlignment="1">
      <alignment horizontal="left"/>
    </xf>
    <xf numFmtId="0" fontId="5" fillId="3" borderId="2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colors>
    <mruColors>
      <color rgb="FFFF0000"/>
      <color rgb="FFCC3300"/>
      <color rgb="FF00CC00"/>
      <color rgb="FFE5BA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收益图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Leg1</c:v>
          </c:tx>
          <c:spPr>
            <a:ln w="2667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Sheet2!$K$2:$K$7</c:f>
              <c:numCache>
                <c:formatCode>General</c:formatCode>
                <c:ptCount val="6"/>
              </c:numCache>
            </c:numRef>
          </c:xVal>
          <c:yVal>
            <c:numRef>
              <c:f>Sheet2!$L$2:$L$7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9-42F7-B0D0-5FA358CDA2CC}"/>
            </c:ext>
          </c:extLst>
        </c:ser>
        <c:ser>
          <c:idx val="3"/>
          <c:order val="1"/>
          <c:tx>
            <c:v>Leg2</c:v>
          </c:tx>
          <c:spPr>
            <a:ln w="26670" cap="rnd">
              <a:solidFill>
                <a:schemeClr val="accent2">
                  <a:lumMod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Sheet2!$K$2:$K$7</c:f>
              <c:numCache>
                <c:formatCode>General</c:formatCode>
                <c:ptCount val="6"/>
              </c:numCache>
            </c:numRef>
          </c:xVal>
          <c:yVal>
            <c:numRef>
              <c:f>Sheet2!$M$2:$M$7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B9-42F7-B0D0-5FA358CDA2CC}"/>
            </c:ext>
          </c:extLst>
        </c:ser>
        <c:ser>
          <c:idx val="0"/>
          <c:order val="2"/>
          <c:tx>
            <c:v>汇总</c:v>
          </c:tx>
          <c:spPr>
            <a:ln w="317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Sheet2!$K$2:$K$7</c:f>
              <c:numCache>
                <c:formatCode>General</c:formatCode>
                <c:ptCount val="6"/>
              </c:numCache>
            </c:numRef>
          </c:xVal>
          <c:yVal>
            <c:numRef>
              <c:f>Sheet2!$N$2:$N$7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31-42AC-9E21-598D95988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88896"/>
        <c:axId val="301892688"/>
      </c:scatterChart>
      <c:valAx>
        <c:axId val="30188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到期价格（元）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892688"/>
        <c:crosses val="autoZero"/>
        <c:crossBetween val="midCat"/>
      </c:valAx>
      <c:valAx>
        <c:axId val="30189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单份收益（元）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1888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/>
              <a:t>收益图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Leg1</c:v>
          </c:tx>
          <c:spPr>
            <a:ln w="19050" cap="rnd">
              <a:solidFill>
                <a:schemeClr val="accent2">
                  <a:alpha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strRef>
              <c:f>Sheet2!$A$2:$A$8</c:f>
              <c:strCache>
                <c:ptCount val="1"/>
                <c:pt idx="0">
                  <c:v>平安银行</c:v>
                </c:pt>
              </c:strCache>
            </c:strRef>
          </c:xVal>
          <c:yVal>
            <c:numRef>
              <c:f>Sheet2!$B$2:$B$8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3F-4C45-82A5-E1646A13A761}"/>
            </c:ext>
          </c:extLst>
        </c:ser>
        <c:ser>
          <c:idx val="3"/>
          <c:order val="1"/>
          <c:tx>
            <c:v>Leg2</c:v>
          </c:tx>
          <c:spPr>
            <a:ln w="19050" cap="rnd">
              <a:solidFill>
                <a:schemeClr val="accent4">
                  <a:alpha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strRef>
              <c:f>Sheet2!$A$2:$A$8</c:f>
              <c:strCache>
                <c:ptCount val="1"/>
                <c:pt idx="0">
                  <c:v>平安银行</c:v>
                </c:pt>
              </c:strCache>
            </c:strRef>
          </c:xVal>
          <c:yVal>
            <c:numRef>
              <c:f>Sheet2!$C$2:$C$8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F-4C45-82A5-E1646A13A761}"/>
            </c:ext>
          </c:extLst>
        </c:ser>
        <c:ser>
          <c:idx val="0"/>
          <c:order val="2"/>
          <c:tx>
            <c:v>Leg3</c:v>
          </c:tx>
          <c:spPr>
            <a:ln w="19050" cap="rnd">
              <a:solidFill>
                <a:schemeClr val="accent1">
                  <a:alpha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strRef>
              <c:f>Sheet2!$A$2:$A$8</c:f>
              <c:strCache>
                <c:ptCount val="1"/>
                <c:pt idx="0">
                  <c:v>平安银行</c:v>
                </c:pt>
              </c:strCache>
            </c:strRef>
          </c:xVal>
          <c:yVal>
            <c:numRef>
              <c:f>Sheet2!$D$2:$D$8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3F-4C45-82A5-E1646A13A761}"/>
            </c:ext>
          </c:extLst>
        </c:ser>
        <c:ser>
          <c:idx val="2"/>
          <c:order val="3"/>
          <c:tx>
            <c:v>Leg4</c:v>
          </c:tx>
          <c:spPr>
            <a:ln w="19050" cap="rnd">
              <a:solidFill>
                <a:schemeClr val="accent3">
                  <a:alpha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strRef>
              <c:f>Sheet2!$A$2:$A$8</c:f>
              <c:strCache>
                <c:ptCount val="1"/>
                <c:pt idx="0">
                  <c:v>平安银行</c:v>
                </c:pt>
              </c:strCache>
            </c:strRef>
          </c:xVal>
          <c:yVal>
            <c:numRef>
              <c:f>Sheet2!$E$2:$E$8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F-4C45-82A5-E1646A13A761}"/>
            </c:ext>
          </c:extLst>
        </c:ser>
        <c:ser>
          <c:idx val="4"/>
          <c:order val="4"/>
          <c:tx>
            <c:v>汇总</c:v>
          </c:tx>
          <c:spPr>
            <a:ln w="31750" cap="rnd">
              <a:solidFill>
                <a:schemeClr val="accent5">
                  <a:alpha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strRef>
              <c:f>Sheet2!$A$2:$A$8</c:f>
              <c:strCache>
                <c:ptCount val="1"/>
                <c:pt idx="0">
                  <c:v>平安银行</c:v>
                </c:pt>
              </c:strCache>
            </c:strRef>
          </c:xVal>
          <c:yVal>
            <c:numRef>
              <c:f>Sheet2!$F$2:$F$8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3F-4C45-82A5-E1646A13A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160264"/>
        <c:axId val="302156056"/>
      </c:scatterChart>
      <c:valAx>
        <c:axId val="302160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到期价格（元）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156056"/>
        <c:crosses val="autoZero"/>
        <c:crossBetween val="midCat"/>
      </c:valAx>
      <c:valAx>
        <c:axId val="30215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收益（万元）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2160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142874</xdr:colOff>
      <xdr:row>2</xdr:row>
      <xdr:rowOff>76198</xdr:rowOff>
    </xdr:from>
    <xdr:to>
      <xdr:col>15</xdr:col>
      <xdr:colOff>123825</xdr:colOff>
      <xdr:row>23</xdr:row>
      <xdr:rowOff>95249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57150</xdr:rowOff>
        </xdr:from>
        <xdr:to>
          <xdr:col>11</xdr:col>
          <xdr:colOff>95250</xdr:colOff>
          <xdr:row>2</xdr:row>
          <xdr:rowOff>19050</xdr:rowOff>
        </xdr:to>
        <xdr:sp macro="" textlink="">
          <xdr:nvSpPr>
            <xdr:cNvPr id="1099" name="ADD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0</xdr:row>
          <xdr:rowOff>66675</xdr:rowOff>
        </xdr:from>
        <xdr:to>
          <xdr:col>12</xdr:col>
          <xdr:colOff>409575</xdr:colOff>
          <xdr:row>2</xdr:row>
          <xdr:rowOff>28575</xdr:rowOff>
        </xdr:to>
        <xdr:sp macro="" textlink="">
          <xdr:nvSpPr>
            <xdr:cNvPr id="1100" name="BUILD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0</xdr:row>
          <xdr:rowOff>47625</xdr:rowOff>
        </xdr:from>
        <xdr:to>
          <xdr:col>13</xdr:col>
          <xdr:colOff>447675</xdr:colOff>
          <xdr:row>2</xdr:row>
          <xdr:rowOff>9525</xdr:rowOff>
        </xdr:to>
        <xdr:sp macro="" textlink="">
          <xdr:nvSpPr>
            <xdr:cNvPr id="1101" name="COMPUTE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0</xdr:row>
          <xdr:rowOff>47625</xdr:rowOff>
        </xdr:from>
        <xdr:to>
          <xdr:col>14</xdr:col>
          <xdr:colOff>495300</xdr:colOff>
          <xdr:row>2</xdr:row>
          <xdr:rowOff>9525</xdr:rowOff>
        </xdr:to>
        <xdr:sp macro="" textlink="">
          <xdr:nvSpPr>
            <xdr:cNvPr id="1102" name="RESET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0.0555</cdr:x>
      <cdr:y>0.22458</cdr:y>
    </cdr:from>
    <cdr:to>
      <cdr:x>0.15516</cdr:x>
      <cdr:y>0.40525</cdr:y>
    </cdr:to>
    <cdr:sp macro="" textlink="">
      <cdr:nvSpPr>
        <cdr:cNvPr id="2" name="文本框 1"/>
        <cdr:cNvSpPr txBox="1"/>
      </cdr:nvSpPr>
      <cdr:spPr>
        <a:xfrm xmlns:a="http://schemas.openxmlformats.org/drawingml/2006/main">
          <a:off x="217489" y="1136650"/>
          <a:ext cx="390525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0.46385</cdr:x>
      <cdr:y>0.60286</cdr:y>
    </cdr:from>
    <cdr:to>
      <cdr:x>0.75067</cdr:x>
      <cdr:y>0.66309</cdr:y>
    </cdr:to>
    <cdr:sp macro="" textlink="">
      <cdr:nvSpPr>
        <cdr:cNvPr id="3" name="文本框 2"/>
        <cdr:cNvSpPr txBox="1"/>
      </cdr:nvSpPr>
      <cdr:spPr>
        <a:xfrm xmlns:a="http://schemas.openxmlformats.org/drawingml/2006/main">
          <a:off x="1817688" y="3051175"/>
          <a:ext cx="1123950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0.03298</cdr:x>
      <cdr:y>0.37625</cdr:y>
    </cdr:from>
    <cdr:to>
      <cdr:x>0.13307</cdr:x>
      <cdr:y>0.55692</cdr:y>
    </cdr:to>
    <cdr:sp macro="" textlink="">
      <cdr:nvSpPr>
        <cdr:cNvPr id="6" name="文本框 5"/>
        <cdr:cNvSpPr txBox="1"/>
      </cdr:nvSpPr>
      <cdr:spPr>
        <a:xfrm xmlns:a="http://schemas.openxmlformats.org/drawingml/2006/main">
          <a:off x="129240" y="1904252"/>
          <a:ext cx="392206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0.37899</cdr:x>
      <cdr:y>0.81933</cdr:y>
    </cdr:from>
    <cdr:to>
      <cdr:x>0.61233</cdr:x>
      <cdr:y>1</cdr:y>
    </cdr:to>
    <cdr:sp macro="" textlink="">
      <cdr:nvSpPr>
        <cdr:cNvPr id="7" name="文本框 6"/>
        <cdr:cNvSpPr txBox="1"/>
      </cdr:nvSpPr>
      <cdr:spPr>
        <a:xfrm xmlns:a="http://schemas.openxmlformats.org/drawingml/2006/main">
          <a:off x="1485152" y="4515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0.03298</cdr:x>
      <cdr:y>0.37625</cdr:y>
    </cdr:from>
    <cdr:to>
      <cdr:x>0.13307</cdr:x>
      <cdr:y>0.55692</cdr:y>
    </cdr:to>
    <cdr:sp macro="" textlink="">
      <cdr:nvSpPr>
        <cdr:cNvPr id="8" name="文本框 7"/>
        <cdr:cNvSpPr txBox="1"/>
      </cdr:nvSpPr>
      <cdr:spPr>
        <a:xfrm xmlns:a="http://schemas.openxmlformats.org/drawingml/2006/main">
          <a:off x="129240" y="1904252"/>
          <a:ext cx="392206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0.37899</cdr:x>
      <cdr:y>0.81933</cdr:y>
    </cdr:from>
    <cdr:to>
      <cdr:x>0.61233</cdr:x>
      <cdr:y>1</cdr:y>
    </cdr:to>
    <cdr:sp macro="" textlink="">
      <cdr:nvSpPr>
        <cdr:cNvPr id="9" name="文本框 8"/>
        <cdr:cNvSpPr txBox="1"/>
      </cdr:nvSpPr>
      <cdr:spPr>
        <a:xfrm xmlns:a="http://schemas.openxmlformats.org/drawingml/2006/main">
          <a:off x="1485152" y="4515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0.39615</cdr:x>
      <cdr:y>0.82052</cdr:y>
    </cdr:from>
    <cdr:to>
      <cdr:x>0.62949</cdr:x>
      <cdr:y>1</cdr:y>
    </cdr:to>
    <cdr:sp macro="" textlink="">
      <cdr:nvSpPr>
        <cdr:cNvPr id="11" name="文本框 10"/>
        <cdr:cNvSpPr txBox="1"/>
      </cdr:nvSpPr>
      <cdr:spPr>
        <a:xfrm xmlns:a="http://schemas.openxmlformats.org/drawingml/2006/main">
          <a:off x="1552388" y="443678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1</xdr:row>
      <xdr:rowOff>95250</xdr:rowOff>
    </xdr:from>
    <xdr:to>
      <xdr:col>14</xdr:col>
      <xdr:colOff>371475</xdr:colOff>
      <xdr:row>25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0.0555</cdr:x>
      <cdr:y>0.22458</cdr:y>
    </cdr:from>
    <cdr:to>
      <cdr:x>0.15516</cdr:x>
      <cdr:y>0.40525</cdr:y>
    </cdr:to>
    <cdr:sp macro="" textlink="">
      <cdr:nvSpPr>
        <cdr:cNvPr id="2" name="文本框 1"/>
        <cdr:cNvSpPr txBox="1"/>
      </cdr:nvSpPr>
      <cdr:spPr>
        <a:xfrm xmlns:a="http://schemas.openxmlformats.org/drawingml/2006/main">
          <a:off x="217489" y="1136650"/>
          <a:ext cx="390525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0.46385</cdr:x>
      <cdr:y>0.60286</cdr:y>
    </cdr:from>
    <cdr:to>
      <cdr:x>0.75067</cdr:x>
      <cdr:y>0.66309</cdr:y>
    </cdr:to>
    <cdr:sp macro="" textlink="">
      <cdr:nvSpPr>
        <cdr:cNvPr id="3" name="文本框 2"/>
        <cdr:cNvSpPr txBox="1"/>
      </cdr:nvSpPr>
      <cdr:spPr>
        <a:xfrm xmlns:a="http://schemas.openxmlformats.org/drawingml/2006/main">
          <a:off x="1817688" y="3051175"/>
          <a:ext cx="1123950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0.03298</cdr:x>
      <cdr:y>0.37625</cdr:y>
    </cdr:from>
    <cdr:to>
      <cdr:x>0.13307</cdr:x>
      <cdr:y>0.55692</cdr:y>
    </cdr:to>
    <cdr:sp macro="" textlink="">
      <cdr:nvSpPr>
        <cdr:cNvPr id="6" name="文本框 5"/>
        <cdr:cNvSpPr txBox="1"/>
      </cdr:nvSpPr>
      <cdr:spPr>
        <a:xfrm xmlns:a="http://schemas.openxmlformats.org/drawingml/2006/main">
          <a:off x="129240" y="1904252"/>
          <a:ext cx="392206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0.37899</cdr:x>
      <cdr:y>0.81933</cdr:y>
    </cdr:from>
    <cdr:to>
      <cdr:x>0.61233</cdr:x>
      <cdr:y>1</cdr:y>
    </cdr:to>
    <cdr:sp macro="" textlink="">
      <cdr:nvSpPr>
        <cdr:cNvPr id="7" name="文本框 6"/>
        <cdr:cNvSpPr txBox="1"/>
      </cdr:nvSpPr>
      <cdr:spPr>
        <a:xfrm xmlns:a="http://schemas.openxmlformats.org/drawingml/2006/main">
          <a:off x="1485152" y="4515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0.03298</cdr:x>
      <cdr:y>0.37625</cdr:y>
    </cdr:from>
    <cdr:to>
      <cdr:x>0.13307</cdr:x>
      <cdr:y>0.55692</cdr:y>
    </cdr:to>
    <cdr:sp macro="" textlink="">
      <cdr:nvSpPr>
        <cdr:cNvPr id="8" name="文本框 7"/>
        <cdr:cNvSpPr txBox="1"/>
      </cdr:nvSpPr>
      <cdr:spPr>
        <a:xfrm xmlns:a="http://schemas.openxmlformats.org/drawingml/2006/main">
          <a:off x="129240" y="1904252"/>
          <a:ext cx="392206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0.37899</cdr:x>
      <cdr:y>0.81933</cdr:y>
    </cdr:from>
    <cdr:to>
      <cdr:x>0.61233</cdr:x>
      <cdr:y>1</cdr:y>
    </cdr:to>
    <cdr:sp macro="" textlink="">
      <cdr:nvSpPr>
        <cdr:cNvPr id="9" name="文本框 8"/>
        <cdr:cNvSpPr txBox="1"/>
      </cdr:nvSpPr>
      <cdr:spPr>
        <a:xfrm xmlns:a="http://schemas.openxmlformats.org/drawingml/2006/main">
          <a:off x="1485152" y="451522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  <cdr:relSizeAnchor xmlns:cdr="http://schemas.openxmlformats.org/drawingml/2006/chartDrawing">
    <cdr:from>
      <cdr:x>0.39615</cdr:x>
      <cdr:y>0.82052</cdr:y>
    </cdr:from>
    <cdr:to>
      <cdr:x>0.62949</cdr:x>
      <cdr:y>1</cdr:y>
    </cdr:to>
    <cdr:sp macro="" textlink="">
      <cdr:nvSpPr>
        <cdr:cNvPr id="11" name="文本框 10"/>
        <cdr:cNvSpPr txBox="1"/>
      </cdr:nvSpPr>
      <cdr:spPr>
        <a:xfrm xmlns:a="http://schemas.openxmlformats.org/drawingml/2006/main">
          <a:off x="1552388" y="443678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zh-CN" altLang="en-US" sz="11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Z200"/>
  <sheetViews>
    <sheetView showGridLines="0" tabSelected="1" zoomScaleNormal="100" zoomScaleSheetLayoutView="100" workbookViewId="0">
      <selection activeCell="J7" sqref="J7"/>
    </sheetView>
  </sheetViews>
  <sheetFormatPr defaultRowHeight="12.75" x14ac:dyDescent="0.2"/>
  <cols>
    <col min="1" max="10" width="11" style="1" customWidth="1"/>
    <col min="11" max="16384" width="9" style="1"/>
  </cols>
  <sheetData>
    <row r="1" spans="1:26" ht="12" customHeight="1" x14ac:dyDescent="0.2">
      <c r="A1" s="27" t="s">
        <v>48</v>
      </c>
      <c r="B1" s="28"/>
      <c r="C1" s="28"/>
      <c r="D1" s="28"/>
      <c r="E1" s="28"/>
      <c r="F1" s="28"/>
      <c r="G1" s="28"/>
      <c r="H1" s="28"/>
      <c r="I1" s="28"/>
      <c r="J1" s="28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ht="12" customHeight="1" x14ac:dyDescent="0.2">
      <c r="A2" s="19" t="s">
        <v>49</v>
      </c>
      <c r="B2" s="20" t="s">
        <v>58</v>
      </c>
      <c r="C2" s="19" t="s">
        <v>51</v>
      </c>
      <c r="D2" s="3" t="s">
        <v>59</v>
      </c>
      <c r="E2" s="19" t="s">
        <v>53</v>
      </c>
      <c r="F2" s="4">
        <v>1000000</v>
      </c>
      <c r="G2" s="19" t="s">
        <v>55</v>
      </c>
      <c r="H2" s="5">
        <v>1</v>
      </c>
      <c r="I2" s="19" t="s">
        <v>56</v>
      </c>
      <c r="J2" s="6">
        <f>F2/H2</f>
        <v>1000000</v>
      </c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ht="12" customHeight="1" x14ac:dyDescent="0.2">
      <c r="A3" s="19" t="s">
        <v>50</v>
      </c>
      <c r="B3" s="21">
        <v>43432</v>
      </c>
      <c r="C3" s="19" t="s">
        <v>52</v>
      </c>
      <c r="D3" s="21">
        <v>43612</v>
      </c>
      <c r="E3" s="19" t="s">
        <v>54</v>
      </c>
      <c r="F3" s="4" t="s">
        <v>6</v>
      </c>
      <c r="G3" s="19" t="s">
        <v>4</v>
      </c>
      <c r="H3" s="21">
        <v>43462</v>
      </c>
      <c r="I3" s="19" t="s">
        <v>5</v>
      </c>
      <c r="J3" s="21">
        <v>43582</v>
      </c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ht="12" customHeight="1" x14ac:dyDescent="0.2">
      <c r="A4" s="29" t="s">
        <v>24</v>
      </c>
      <c r="B4" s="30"/>
      <c r="C4" s="30"/>
      <c r="D4" s="30"/>
      <c r="E4" s="30"/>
      <c r="F4" s="30"/>
      <c r="G4" s="30"/>
      <c r="H4" s="30"/>
      <c r="I4" s="30"/>
      <c r="J4" s="3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ht="12" customHeight="1" x14ac:dyDescent="0.2">
      <c r="A5" s="12" t="s">
        <v>39</v>
      </c>
      <c r="B5" s="8" t="s">
        <v>40</v>
      </c>
      <c r="C5" s="12" t="s">
        <v>25</v>
      </c>
      <c r="D5" s="15">
        <v>0</v>
      </c>
      <c r="E5" s="12" t="s">
        <v>26</v>
      </c>
      <c r="F5" s="15">
        <v>0</v>
      </c>
      <c r="G5" s="12" t="s">
        <v>27</v>
      </c>
      <c r="H5" s="15">
        <v>0</v>
      </c>
      <c r="I5" s="12" t="s">
        <v>28</v>
      </c>
      <c r="J5" s="15">
        <v>3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ht="12" customHeight="1" x14ac:dyDescent="0.2">
      <c r="A6" s="29" t="s">
        <v>29</v>
      </c>
      <c r="B6" s="32"/>
      <c r="C6" s="32"/>
      <c r="D6" s="32"/>
      <c r="E6" s="32"/>
      <c r="F6" s="32"/>
      <c r="G6" s="32"/>
      <c r="H6" s="32"/>
      <c r="I6" s="32"/>
      <c r="J6" s="3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ht="12" customHeight="1" x14ac:dyDescent="0.2">
      <c r="A7" s="12"/>
      <c r="B7" s="14" t="s">
        <v>30</v>
      </c>
      <c r="C7" s="14" t="s">
        <v>31</v>
      </c>
      <c r="D7" s="14" t="s">
        <v>32</v>
      </c>
      <c r="E7" s="14" t="s">
        <v>33</v>
      </c>
      <c r="F7" s="14" t="s">
        <v>34</v>
      </c>
      <c r="I7" s="9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ht="14.25" x14ac:dyDescent="0.2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ht="14.25" x14ac:dyDescent="0.2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 ht="14.25" x14ac:dyDescent="0.2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 ht="14.25" x14ac:dyDescent="0.2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 ht="14.25" x14ac:dyDescent="0.2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ht="14.25" x14ac:dyDescent="0.2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 ht="14.25" x14ac:dyDescent="0.2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 ht="14.25" x14ac:dyDescent="0.2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 ht="14.25" x14ac:dyDescent="0.2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 ht="14.25" x14ac:dyDescent="0.2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 ht="14.25" x14ac:dyDescent="0.2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 ht="14.25" x14ac:dyDescent="0.2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 ht="14.25" x14ac:dyDescent="0.2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 ht="14.25" x14ac:dyDescent="0.2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 ht="14.25" x14ac:dyDescent="0.2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 ht="14.25" x14ac:dyDescent="0.2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 ht="14.25" x14ac:dyDescent="0.2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 ht="14.25" x14ac:dyDescent="0.2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 ht="14.25" x14ac:dyDescent="0.2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 ht="14.25" x14ac:dyDescent="0.2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 ht="14.25" x14ac:dyDescent="0.2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 ht="14.25" x14ac:dyDescent="0.2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 ht="14.25" x14ac:dyDescent="0.2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 ht="14.25" x14ac:dyDescent="0.2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ht="14.25" x14ac:dyDescent="0.2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 ht="14.25" x14ac:dyDescent="0.2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 ht="14.25" x14ac:dyDescent="0.2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 ht="14.25" x14ac:dyDescent="0.2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 ht="14.25" x14ac:dyDescent="0.2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 ht="14.25" x14ac:dyDescent="0.2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26" ht="14.25" x14ac:dyDescent="0.2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26" ht="14.25" x14ac:dyDescent="0.2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26" ht="14.25" x14ac:dyDescent="0.2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1:26" ht="14.25" x14ac:dyDescent="0.2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26" ht="14.25" x14ac:dyDescent="0.2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1:26" ht="14.25" x14ac:dyDescent="0.2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26" ht="14.25" x14ac:dyDescent="0.2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26" ht="14.25" x14ac:dyDescent="0.2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26" ht="14.25" x14ac:dyDescent="0.2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26" ht="14.25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spans="1:26" ht="14.25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1:26" ht="14.25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1:26" ht="14.25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1:26" ht="14.25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1:26" ht="14.2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1:26" ht="14.2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1:26" ht="14.2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1:26" ht="14.2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1:26" ht="14.2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1:26" ht="14.2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1:26" ht="14.2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1:26" ht="14.2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1:26" ht="14.2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1:26" ht="14.2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1:26" ht="14.2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1:26" ht="14.2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1:26" ht="14.25" x14ac:dyDescent="0.2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ht="14.25" x14ac:dyDescent="0.2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 ht="14.25" x14ac:dyDescent="0.2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1:26" ht="14.25" x14ac:dyDescent="0.2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1:26" ht="14.25" x14ac:dyDescent="0.2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1:26" ht="14.25" x14ac:dyDescent="0.2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ht="14.25" x14ac:dyDescent="0.2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ht="14.25" x14ac:dyDescent="0.2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ht="14.25" x14ac:dyDescent="0.2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ht="14.25" x14ac:dyDescent="0.2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ht="14.25" x14ac:dyDescent="0.2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ht="14.25" x14ac:dyDescent="0.2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ht="14.25" x14ac:dyDescent="0.2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ht="14.25" x14ac:dyDescent="0.2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ht="14.25" x14ac:dyDescent="0.2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ht="14.25" x14ac:dyDescent="0.2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ht="14.25" x14ac:dyDescent="0.2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ht="14.25" x14ac:dyDescent="0.2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ht="14.25" x14ac:dyDescent="0.2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ht="14.25" x14ac:dyDescent="0.2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ht="14.25" x14ac:dyDescent="0.2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ht="14.25" x14ac:dyDescent="0.2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ht="14.25" x14ac:dyDescent="0.2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ht="14.25" x14ac:dyDescent="0.2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ht="14.25" x14ac:dyDescent="0.2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ht="14.25" x14ac:dyDescent="0.2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ht="14.25" x14ac:dyDescent="0.2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ht="14.25" x14ac:dyDescent="0.2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ht="14.25" x14ac:dyDescent="0.2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ht="14.25" x14ac:dyDescent="0.2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ht="14.25" x14ac:dyDescent="0.2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ht="14.25" x14ac:dyDescent="0.2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ht="14.25" x14ac:dyDescent="0.2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ht="14.25" x14ac:dyDescent="0.2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ht="14.25" x14ac:dyDescent="0.2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ht="14.25" x14ac:dyDescent="0.2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ht="14.25" x14ac:dyDescent="0.2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ht="14.25" x14ac:dyDescent="0.2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ht="14.25" x14ac:dyDescent="0.2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ht="14.25" x14ac:dyDescent="0.2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ht="14.25" x14ac:dyDescent="0.2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ht="14.25" x14ac:dyDescent="0.2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1:26" ht="14.25" x14ac:dyDescent="0.2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1:26" ht="14.25" x14ac:dyDescent="0.2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1:26" ht="14.25" x14ac:dyDescent="0.2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1:26" ht="14.25" x14ac:dyDescent="0.2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1:26" ht="14.25" x14ac:dyDescent="0.2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1:26" ht="14.25" x14ac:dyDescent="0.2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1:26" ht="14.25" x14ac:dyDescent="0.2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1:26" ht="14.25" x14ac:dyDescent="0.2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1:26" ht="14.25" x14ac:dyDescent="0.2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1:26" ht="14.25" x14ac:dyDescent="0.2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1:26" ht="14.25" x14ac:dyDescent="0.2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1:26" ht="14.25" x14ac:dyDescent="0.2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1:26" ht="14.25" x14ac:dyDescent="0.2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26" ht="14.25" x14ac:dyDescent="0.2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1:26" ht="14.25" x14ac:dyDescent="0.2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1:26" ht="14.25" x14ac:dyDescent="0.2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1:26" ht="14.25" x14ac:dyDescent="0.2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1:26" ht="14.25" x14ac:dyDescent="0.2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1:26" ht="14.25" x14ac:dyDescent="0.2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1:26" ht="14.25" x14ac:dyDescent="0.2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1:26" ht="14.25" x14ac:dyDescent="0.2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1:26" ht="14.25" x14ac:dyDescent="0.2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1:26" ht="14.25" x14ac:dyDescent="0.2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1:26" ht="14.25" x14ac:dyDescent="0.2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1:26" ht="14.25" x14ac:dyDescent="0.2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1:26" ht="14.25" x14ac:dyDescent="0.2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1:26" ht="14.25" x14ac:dyDescent="0.2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1:26" ht="14.25" x14ac:dyDescent="0.2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1:26" ht="14.25" x14ac:dyDescent="0.2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spans="1:26" ht="14.25" x14ac:dyDescent="0.2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spans="1:26" ht="14.25" x14ac:dyDescent="0.2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spans="1:26" ht="14.25" x14ac:dyDescent="0.2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spans="1:26" ht="14.25" x14ac:dyDescent="0.2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spans="1:26" ht="14.25" x14ac:dyDescent="0.2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spans="1:26" ht="14.25" x14ac:dyDescent="0.2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spans="1:26" ht="14.25" x14ac:dyDescent="0.2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spans="1:26" ht="14.25" x14ac:dyDescent="0.2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spans="1:26" ht="14.25" x14ac:dyDescent="0.2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spans="1:26" ht="14.25" x14ac:dyDescent="0.2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spans="1:26" ht="14.25" x14ac:dyDescent="0.2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spans="1:26" ht="14.25" x14ac:dyDescent="0.2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spans="1:26" ht="14.25" x14ac:dyDescent="0.2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1:26" ht="14.25" x14ac:dyDescent="0.2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1:26" ht="14.25" x14ac:dyDescent="0.2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1:26" ht="14.25" x14ac:dyDescent="0.2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1:26" ht="14.25" x14ac:dyDescent="0.2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1:26" ht="14.25" x14ac:dyDescent="0.2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1:26" ht="14.25" x14ac:dyDescent="0.2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1:26" ht="14.25" x14ac:dyDescent="0.2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1:26" ht="14.25" x14ac:dyDescent="0.2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1:26" ht="14.25" x14ac:dyDescent="0.2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1:26" ht="14.25" x14ac:dyDescent="0.2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1:26" ht="14.25" x14ac:dyDescent="0.2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1:26" ht="14.25" x14ac:dyDescent="0.2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1:26" ht="14.25" x14ac:dyDescent="0.2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1:26" ht="14.25" x14ac:dyDescent="0.2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1:26" ht="14.25" x14ac:dyDescent="0.2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1:26" ht="14.25" x14ac:dyDescent="0.2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1:26" ht="14.25" x14ac:dyDescent="0.2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1:26" ht="14.25" x14ac:dyDescent="0.2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ht="14.25" x14ac:dyDescent="0.2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1:26" ht="14.25" x14ac:dyDescent="0.2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ht="14.25" x14ac:dyDescent="0.2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1:26" ht="14.25" x14ac:dyDescent="0.2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ht="14.25" x14ac:dyDescent="0.2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1:26" ht="14.25" x14ac:dyDescent="0.2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1:26" ht="14.25" x14ac:dyDescent="0.2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1:26" ht="14.25" x14ac:dyDescent="0.2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1:26" ht="14.25" x14ac:dyDescent="0.2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1:26" ht="14.25" x14ac:dyDescent="0.2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1:26" ht="14.25" x14ac:dyDescent="0.2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1:26" ht="14.25" x14ac:dyDescent="0.2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1:26" ht="14.25" x14ac:dyDescent="0.2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1:26" ht="14.25" x14ac:dyDescent="0.2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1:26" ht="14.25" x14ac:dyDescent="0.2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1:26" ht="14.25" x14ac:dyDescent="0.2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1:26" ht="14.25" x14ac:dyDescent="0.2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1:26" ht="14.25" x14ac:dyDescent="0.2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1:26" ht="14.25" x14ac:dyDescent="0.2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1:26" ht="14.25" x14ac:dyDescent="0.2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1:26" ht="14.25" x14ac:dyDescent="0.2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1:26" ht="14.25" x14ac:dyDescent="0.2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1:26" ht="14.25" x14ac:dyDescent="0.2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1:26" ht="14.25" x14ac:dyDescent="0.2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1:26" ht="14.25" x14ac:dyDescent="0.2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1:26" ht="14.25" x14ac:dyDescent="0.2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1:26" ht="14.25" x14ac:dyDescent="0.2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1:26" ht="14.25" x14ac:dyDescent="0.2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1:26" ht="14.25" x14ac:dyDescent="0.2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1:26" ht="14.25" x14ac:dyDescent="0.2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1:26" ht="14.25" x14ac:dyDescent="0.2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1:26" ht="14.25" x14ac:dyDescent="0.2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1:26" ht="14.25" x14ac:dyDescent="0.2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1:26" ht="14.25" x14ac:dyDescent="0.2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1:26" ht="14.25" x14ac:dyDescent="0.2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</sheetData>
  <sheetProtection selectLockedCells="1"/>
  <dataConsolidate link="1"/>
  <mergeCells count="3">
    <mergeCell ref="A1:J1"/>
    <mergeCell ref="A4:J4"/>
    <mergeCell ref="A6:J6"/>
  </mergeCells>
  <phoneticPr fontId="1" type="noConversion"/>
  <dataValidations count="1">
    <dataValidation type="list" allowBlank="1" showInputMessage="1" showErrorMessage="1" sqref="F3">
      <formula1>"美式行权,欧式行权"</formula1>
    </dataValidation>
  </dataValidations>
  <pageMargins left="0.7" right="0.7" top="0.75" bottom="0.75" header="0.3" footer="0.3"/>
  <pageSetup paperSize="9" scale="57" orientation="portrait" r:id="rId1"/>
  <colBreaks count="1" manualBreakCount="1">
    <brk id="15" max="1048575" man="1"/>
  </colBreaks>
  <drawing r:id="rId2"/>
  <legacyDrawing r:id="rId3"/>
  <controls>
    <mc:AlternateContent xmlns:mc="http://schemas.openxmlformats.org/markup-compatibility/2006">
      <mc:Choice Requires="x14">
        <control shapeId="1100" r:id="rId4" name="BUILD">
          <controlPr autoLine="0" r:id="rId5">
            <anchor moveWithCells="1">
              <from>
                <xdr:col>11</xdr:col>
                <xdr:colOff>219075</xdr:colOff>
                <xdr:row>0</xdr:row>
                <xdr:rowOff>66675</xdr:rowOff>
              </from>
              <to>
                <xdr:col>12</xdr:col>
                <xdr:colOff>409575</xdr:colOff>
                <xdr:row>2</xdr:row>
                <xdr:rowOff>28575</xdr:rowOff>
              </to>
            </anchor>
          </controlPr>
        </control>
      </mc:Choice>
      <mc:Fallback>
        <control shapeId="1100" r:id="rId4" name="BUILD"/>
      </mc:Fallback>
    </mc:AlternateContent>
    <mc:AlternateContent xmlns:mc="http://schemas.openxmlformats.org/markup-compatibility/2006">
      <mc:Choice Requires="x14">
        <control shapeId="1099" r:id="rId6" name="ADD">
          <controlPr autoLine="0" r:id="rId7">
            <anchor moveWithCells="1">
              <from>
                <xdr:col>10</xdr:col>
                <xdr:colOff>171450</xdr:colOff>
                <xdr:row>0</xdr:row>
                <xdr:rowOff>57150</xdr:rowOff>
              </from>
              <to>
                <xdr:col>11</xdr:col>
                <xdr:colOff>95250</xdr:colOff>
                <xdr:row>2</xdr:row>
                <xdr:rowOff>19050</xdr:rowOff>
              </to>
            </anchor>
          </controlPr>
        </control>
      </mc:Choice>
      <mc:Fallback>
        <control shapeId="1099" r:id="rId6" name="ADD"/>
      </mc:Fallback>
    </mc:AlternateContent>
    <mc:AlternateContent xmlns:mc="http://schemas.openxmlformats.org/markup-compatibility/2006">
      <mc:Choice Requires="x14">
        <control shapeId="1101" r:id="rId8" name="COMPUTE">
          <controlPr autoLine="0" r:id="rId9">
            <anchor moveWithCells="1">
              <from>
                <xdr:col>12</xdr:col>
                <xdr:colOff>523875</xdr:colOff>
                <xdr:row>0</xdr:row>
                <xdr:rowOff>47625</xdr:rowOff>
              </from>
              <to>
                <xdr:col>13</xdr:col>
                <xdr:colOff>447675</xdr:colOff>
                <xdr:row>2</xdr:row>
                <xdr:rowOff>9525</xdr:rowOff>
              </to>
            </anchor>
          </controlPr>
        </control>
      </mc:Choice>
      <mc:Fallback>
        <control shapeId="1101" r:id="rId8" name="COMPUTE"/>
      </mc:Fallback>
    </mc:AlternateContent>
    <mc:AlternateContent xmlns:mc="http://schemas.openxmlformats.org/markup-compatibility/2006">
      <mc:Choice Requires="x14">
        <control shapeId="1102" r:id="rId10" name="RESET">
          <controlPr autoLine="0" r:id="rId11">
            <anchor moveWithCells="1">
              <from>
                <xdr:col>13</xdr:col>
                <xdr:colOff>571500</xdr:colOff>
                <xdr:row>0</xdr:row>
                <xdr:rowOff>47625</xdr:rowOff>
              </from>
              <to>
                <xdr:col>14</xdr:col>
                <xdr:colOff>495300</xdr:colOff>
                <xdr:row>2</xdr:row>
                <xdr:rowOff>9525</xdr:rowOff>
              </to>
            </anchor>
          </controlPr>
        </control>
      </mc:Choice>
      <mc:Fallback>
        <control shapeId="1102" r:id="rId10" name="RESE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Sheet2!$A$1:$A$6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topLeftCell="B1" workbookViewId="0">
      <selection activeCell="B1" sqref="B1:Z100"/>
    </sheetView>
  </sheetViews>
  <sheetFormatPr defaultRowHeight="14.25" x14ac:dyDescent="0.2"/>
  <cols>
    <col min="1" max="1" width="22.5" customWidth="1"/>
    <col min="4" max="4" width="14.375" customWidth="1"/>
  </cols>
  <sheetData>
    <row r="1" spans="1:1" x14ac:dyDescent="0.2">
      <c r="A1" t="s">
        <v>63</v>
      </c>
    </row>
    <row r="2" spans="1:1" x14ac:dyDescent="0.2">
      <c r="A2" t="s">
        <v>64</v>
      </c>
    </row>
  </sheetData>
  <sheetProtection algorithmName="SHA-512" hashValue="W6ta11ubIIrS9BQvgkE1qNvV34uLPLMeYadvWepeHmvR2gi9CmcOr0vMJ7JiB6mKS1ZpHZ/gTH9XdBu3E4ISaA==" saltValue="R6gNnvB/O4rVYEZmUGuWO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9"/>
  <sheetViews>
    <sheetView workbookViewId="0">
      <selection activeCell="A23" sqref="A23:J26"/>
    </sheetView>
  </sheetViews>
  <sheetFormatPr defaultRowHeight="12.75" x14ac:dyDescent="0.2"/>
  <cols>
    <col min="1" max="10" width="11" style="1" customWidth="1"/>
    <col min="11" max="16384" width="9" style="1"/>
  </cols>
  <sheetData>
    <row r="1" spans="1:11" ht="12" customHeight="1" x14ac:dyDescent="0.2">
      <c r="A1" s="27" t="s">
        <v>48</v>
      </c>
      <c r="B1" s="28"/>
      <c r="C1" s="28"/>
      <c r="D1" s="28"/>
      <c r="E1" s="28"/>
      <c r="F1" s="28"/>
      <c r="G1" s="28"/>
      <c r="H1" s="28"/>
      <c r="I1" s="28"/>
      <c r="J1" s="28"/>
    </row>
    <row r="2" spans="1:11" ht="12" customHeight="1" x14ac:dyDescent="0.2">
      <c r="A2" s="19" t="s">
        <v>49</v>
      </c>
      <c r="B2" s="20" t="s">
        <v>58</v>
      </c>
      <c r="C2" s="19" t="s">
        <v>51</v>
      </c>
      <c r="D2" s="3" t="s">
        <v>59</v>
      </c>
      <c r="E2" s="19" t="s">
        <v>53</v>
      </c>
      <c r="F2" s="4">
        <v>1000000</v>
      </c>
      <c r="G2" s="19" t="s">
        <v>55</v>
      </c>
      <c r="H2" s="5">
        <v>1</v>
      </c>
      <c r="I2" s="19" t="s">
        <v>56</v>
      </c>
      <c r="J2" s="6">
        <f>F2/H2</f>
        <v>1000000</v>
      </c>
    </row>
    <row r="3" spans="1:11" ht="12" customHeight="1" x14ac:dyDescent="0.2">
      <c r="A3" s="19" t="s">
        <v>50</v>
      </c>
      <c r="B3" s="21">
        <v>43432</v>
      </c>
      <c r="C3" s="19" t="s">
        <v>52</v>
      </c>
      <c r="D3" s="21">
        <v>43612</v>
      </c>
      <c r="E3" s="19" t="s">
        <v>54</v>
      </c>
      <c r="F3" s="4" t="s">
        <v>6</v>
      </c>
      <c r="G3" s="19" t="s">
        <v>4</v>
      </c>
      <c r="H3" s="21">
        <v>43462</v>
      </c>
      <c r="I3" s="19" t="s">
        <v>5</v>
      </c>
      <c r="J3" s="21">
        <v>43582</v>
      </c>
    </row>
    <row r="4" spans="1:11" ht="12" customHeight="1" x14ac:dyDescent="0.2">
      <c r="A4" s="37" t="s">
        <v>42</v>
      </c>
      <c r="B4" s="38"/>
      <c r="C4" s="38"/>
      <c r="D4" s="38"/>
      <c r="E4" s="38"/>
      <c r="F4" s="38"/>
      <c r="G4" s="38"/>
      <c r="H4" s="38"/>
      <c r="I4" s="16">
        <v>2</v>
      </c>
      <c r="J4" s="7" t="s">
        <v>23</v>
      </c>
    </row>
    <row r="5" spans="1:11" ht="12" customHeight="1" x14ac:dyDescent="0.2">
      <c r="A5" s="2" t="s">
        <v>57</v>
      </c>
      <c r="B5" s="3" t="s">
        <v>1</v>
      </c>
      <c r="C5" s="2" t="s">
        <v>10</v>
      </c>
      <c r="D5" s="3" t="s">
        <v>0</v>
      </c>
      <c r="E5" s="2" t="s">
        <v>9</v>
      </c>
      <c r="F5" s="3"/>
      <c r="G5" s="2" t="s">
        <v>11</v>
      </c>
      <c r="H5" s="18">
        <v>1.01112</v>
      </c>
      <c r="I5" s="2" t="s">
        <v>12</v>
      </c>
      <c r="J5" s="3">
        <v>100</v>
      </c>
    </row>
    <row r="6" spans="1:11" ht="12" customHeight="1" x14ac:dyDescent="0.2">
      <c r="A6" s="37" t="s">
        <v>43</v>
      </c>
      <c r="B6" s="38"/>
      <c r="C6" s="38"/>
      <c r="D6" s="38"/>
      <c r="E6" s="38"/>
      <c r="F6" s="38"/>
      <c r="G6" s="38"/>
      <c r="H6" s="38"/>
      <c r="I6" s="16">
        <v>3</v>
      </c>
      <c r="J6" s="7" t="s">
        <v>23</v>
      </c>
    </row>
    <row r="7" spans="1:11" ht="12" customHeight="1" x14ac:dyDescent="0.2">
      <c r="A7" s="2" t="s">
        <v>8</v>
      </c>
      <c r="B7" s="3" t="s">
        <v>1</v>
      </c>
      <c r="C7" s="2" t="s">
        <v>10</v>
      </c>
      <c r="D7" s="3" t="s">
        <v>0</v>
      </c>
      <c r="E7" s="2" t="s">
        <v>9</v>
      </c>
      <c r="F7" s="3"/>
      <c r="G7" s="2" t="s">
        <v>11</v>
      </c>
      <c r="H7" s="18">
        <v>1.01112</v>
      </c>
      <c r="I7" s="2" t="s">
        <v>12</v>
      </c>
      <c r="J7" s="3">
        <v>100</v>
      </c>
    </row>
    <row r="8" spans="1:11" ht="12" customHeight="1" x14ac:dyDescent="0.2">
      <c r="A8" s="2" t="s">
        <v>19</v>
      </c>
      <c r="B8" s="21">
        <v>43432</v>
      </c>
      <c r="C8" s="2" t="s">
        <v>20</v>
      </c>
      <c r="D8" s="21">
        <v>43612</v>
      </c>
      <c r="E8" s="2"/>
      <c r="F8" s="3"/>
      <c r="G8" s="2"/>
      <c r="H8" s="3"/>
      <c r="I8" s="2"/>
      <c r="J8" s="3"/>
      <c r="K8" s="26" t="s">
        <v>65</v>
      </c>
    </row>
    <row r="9" spans="1:11" ht="12" customHeight="1" x14ac:dyDescent="0.2">
      <c r="A9" s="37" t="s">
        <v>44</v>
      </c>
      <c r="B9" s="38"/>
      <c r="C9" s="38"/>
      <c r="D9" s="38"/>
      <c r="E9" s="38"/>
      <c r="F9" s="38"/>
      <c r="G9" s="38"/>
      <c r="H9" s="38"/>
      <c r="I9" s="16">
        <v>3</v>
      </c>
      <c r="J9" s="7" t="s">
        <v>23</v>
      </c>
    </row>
    <row r="10" spans="1:11" ht="12" customHeight="1" x14ac:dyDescent="0.2">
      <c r="A10" s="2" t="s">
        <v>8</v>
      </c>
      <c r="B10" s="3" t="s">
        <v>1</v>
      </c>
      <c r="C10" s="2" t="s">
        <v>10</v>
      </c>
      <c r="D10" s="3" t="s">
        <v>0</v>
      </c>
      <c r="E10" s="2" t="s">
        <v>9</v>
      </c>
      <c r="F10" s="3"/>
      <c r="G10" s="2" t="s">
        <v>11</v>
      </c>
      <c r="H10" s="18">
        <v>1.01112</v>
      </c>
      <c r="I10" s="2" t="s">
        <v>12</v>
      </c>
      <c r="J10" s="3">
        <v>100</v>
      </c>
    </row>
    <row r="11" spans="1:11" ht="12" customHeight="1" x14ac:dyDescent="0.2">
      <c r="A11" s="2" t="s">
        <v>15</v>
      </c>
      <c r="B11" s="3" t="s">
        <v>2</v>
      </c>
      <c r="C11" s="2" t="s">
        <v>17</v>
      </c>
      <c r="D11" s="3"/>
      <c r="E11" s="2" t="s">
        <v>21</v>
      </c>
      <c r="F11" s="5"/>
      <c r="G11" s="2" t="s">
        <v>16</v>
      </c>
      <c r="H11" s="3"/>
      <c r="I11" s="2" t="s">
        <v>14</v>
      </c>
      <c r="J11" s="3" t="s">
        <v>3</v>
      </c>
    </row>
    <row r="12" spans="1:11" ht="12" customHeight="1" x14ac:dyDescent="0.2">
      <c r="A12" s="37" t="s">
        <v>47</v>
      </c>
      <c r="B12" s="38"/>
      <c r="C12" s="38"/>
      <c r="D12" s="38"/>
      <c r="E12" s="38"/>
      <c r="F12" s="38"/>
      <c r="G12" s="38"/>
      <c r="H12" s="38"/>
      <c r="I12" s="16">
        <v>3</v>
      </c>
      <c r="J12" s="7" t="s">
        <v>23</v>
      </c>
    </row>
    <row r="13" spans="1:11" ht="12" customHeight="1" x14ac:dyDescent="0.2">
      <c r="A13" s="2" t="s">
        <v>7</v>
      </c>
      <c r="B13" s="3" t="s">
        <v>1</v>
      </c>
      <c r="C13" s="2" t="s">
        <v>10</v>
      </c>
      <c r="D13" s="3" t="s">
        <v>61</v>
      </c>
      <c r="E13" s="2" t="s">
        <v>9</v>
      </c>
      <c r="F13" s="3"/>
      <c r="G13" s="2" t="s">
        <v>11</v>
      </c>
      <c r="H13" s="18">
        <v>1.01112</v>
      </c>
      <c r="I13" s="2" t="s">
        <v>12</v>
      </c>
      <c r="J13" s="3">
        <v>100</v>
      </c>
    </row>
    <row r="14" spans="1:11" ht="12" customHeight="1" x14ac:dyDescent="0.2">
      <c r="A14" s="2" t="s">
        <v>22</v>
      </c>
      <c r="B14" s="3"/>
      <c r="C14" s="2" t="s">
        <v>13</v>
      </c>
      <c r="D14" s="3">
        <v>365</v>
      </c>
      <c r="E14" s="2" t="s">
        <v>41</v>
      </c>
      <c r="F14" s="5"/>
      <c r="G14" s="2"/>
      <c r="H14" s="3"/>
      <c r="I14" s="2"/>
      <c r="J14" s="3"/>
    </row>
    <row r="15" spans="1:11" ht="12" customHeight="1" x14ac:dyDescent="0.2">
      <c r="A15" s="37" t="s">
        <v>45</v>
      </c>
      <c r="B15" s="38"/>
      <c r="C15" s="38"/>
      <c r="D15" s="38"/>
      <c r="E15" s="38"/>
      <c r="F15" s="38"/>
      <c r="G15" s="38"/>
      <c r="H15" s="38"/>
      <c r="I15" s="16">
        <v>4</v>
      </c>
      <c r="J15" s="7" t="s">
        <v>23</v>
      </c>
    </row>
    <row r="16" spans="1:11" ht="12" customHeight="1" x14ac:dyDescent="0.2">
      <c r="A16" s="2" t="s">
        <v>7</v>
      </c>
      <c r="B16" s="3" t="s">
        <v>1</v>
      </c>
      <c r="C16" s="2" t="s">
        <v>10</v>
      </c>
      <c r="D16" s="3" t="s">
        <v>62</v>
      </c>
      <c r="E16" s="2" t="s">
        <v>9</v>
      </c>
      <c r="F16" s="3"/>
      <c r="G16" s="2" t="s">
        <v>11</v>
      </c>
      <c r="H16" s="18">
        <v>1.01112</v>
      </c>
      <c r="I16" s="2" t="s">
        <v>12</v>
      </c>
      <c r="J16" s="3">
        <v>100</v>
      </c>
    </row>
    <row r="17" spans="1:10" ht="12" customHeight="1" x14ac:dyDescent="0.2">
      <c r="A17" s="2" t="s">
        <v>15</v>
      </c>
      <c r="B17" s="3" t="s">
        <v>2</v>
      </c>
      <c r="C17" s="2" t="s">
        <v>17</v>
      </c>
      <c r="D17" s="3"/>
      <c r="E17" s="2" t="s">
        <v>21</v>
      </c>
      <c r="F17" s="5"/>
      <c r="G17" s="2" t="s">
        <v>16</v>
      </c>
      <c r="H17" s="3">
        <v>0</v>
      </c>
      <c r="I17" s="2" t="s">
        <v>14</v>
      </c>
      <c r="J17" s="3" t="s">
        <v>3</v>
      </c>
    </row>
    <row r="18" spans="1:10" ht="12" customHeight="1" x14ac:dyDescent="0.2">
      <c r="A18" s="2" t="s">
        <v>22</v>
      </c>
      <c r="B18" s="3"/>
      <c r="C18" s="2" t="s">
        <v>13</v>
      </c>
      <c r="D18" s="3">
        <v>365</v>
      </c>
      <c r="E18" s="2" t="s">
        <v>38</v>
      </c>
      <c r="F18" s="5"/>
      <c r="G18" s="3"/>
      <c r="H18" s="3"/>
      <c r="I18" s="3"/>
      <c r="J18" s="3"/>
    </row>
    <row r="19" spans="1:10" ht="12" customHeight="1" x14ac:dyDescent="0.2">
      <c r="A19" s="37" t="s">
        <v>46</v>
      </c>
      <c r="B19" s="38"/>
      <c r="C19" s="38"/>
      <c r="D19" s="38"/>
      <c r="E19" s="38"/>
      <c r="F19" s="38"/>
      <c r="G19" s="38"/>
      <c r="H19" s="38"/>
      <c r="I19" s="16">
        <v>4</v>
      </c>
      <c r="J19" s="7" t="s">
        <v>23</v>
      </c>
    </row>
    <row r="20" spans="1:10" ht="12" customHeight="1" x14ac:dyDescent="0.2">
      <c r="A20" s="2" t="s">
        <v>7</v>
      </c>
      <c r="B20" s="3" t="s">
        <v>1</v>
      </c>
      <c r="C20" s="2" t="s">
        <v>10</v>
      </c>
      <c r="D20" s="3" t="s">
        <v>0</v>
      </c>
      <c r="E20" s="2" t="s">
        <v>9</v>
      </c>
      <c r="F20" s="5"/>
      <c r="G20" s="2" t="s">
        <v>11</v>
      </c>
      <c r="H20" s="18">
        <v>1.01112</v>
      </c>
      <c r="I20" s="2" t="s">
        <v>12</v>
      </c>
      <c r="J20" s="3">
        <v>100</v>
      </c>
    </row>
    <row r="21" spans="1:10" ht="12" customHeight="1" x14ac:dyDescent="0.2">
      <c r="A21" s="2" t="s">
        <v>15</v>
      </c>
      <c r="B21" s="23" t="s">
        <v>2</v>
      </c>
      <c r="C21" s="21" t="s">
        <v>17</v>
      </c>
      <c r="D21" s="23"/>
      <c r="E21" s="24" t="s">
        <v>21</v>
      </c>
      <c r="F21" s="25"/>
      <c r="G21" s="24" t="s">
        <v>16</v>
      </c>
      <c r="H21" s="23"/>
      <c r="I21" s="24" t="s">
        <v>14</v>
      </c>
      <c r="J21" s="23" t="s">
        <v>3</v>
      </c>
    </row>
    <row r="22" spans="1:10" ht="12" customHeight="1" x14ac:dyDescent="0.2">
      <c r="A22" s="22" t="s">
        <v>18</v>
      </c>
      <c r="B22" s="34" t="s">
        <v>60</v>
      </c>
      <c r="C22" s="35"/>
      <c r="D22" s="35"/>
      <c r="E22" s="35"/>
      <c r="F22" s="35"/>
      <c r="G22" s="35"/>
      <c r="H22" s="35"/>
      <c r="I22" s="35"/>
      <c r="J22" s="36"/>
    </row>
    <row r="23" spans="1:10" ht="12" customHeight="1" x14ac:dyDescent="0.2">
      <c r="A23" s="29" t="s">
        <v>24</v>
      </c>
      <c r="B23" s="30"/>
      <c r="C23" s="30"/>
      <c r="D23" s="30"/>
      <c r="E23" s="30"/>
      <c r="F23" s="30"/>
      <c r="G23" s="30"/>
      <c r="H23" s="30"/>
      <c r="I23" s="30"/>
      <c r="J23" s="31"/>
    </row>
    <row r="24" spans="1:10" ht="12" customHeight="1" x14ac:dyDescent="0.2">
      <c r="A24" s="12" t="s">
        <v>39</v>
      </c>
      <c r="B24" s="8" t="s">
        <v>40</v>
      </c>
      <c r="C24" s="12" t="s">
        <v>25</v>
      </c>
      <c r="D24" s="15">
        <v>0</v>
      </c>
      <c r="E24" s="12" t="s">
        <v>26</v>
      </c>
      <c r="F24" s="15">
        <v>0</v>
      </c>
      <c r="G24" s="12" t="s">
        <v>27</v>
      </c>
      <c r="H24" s="15">
        <v>0</v>
      </c>
      <c r="I24" s="12" t="s">
        <v>28</v>
      </c>
      <c r="J24" s="15">
        <v>3</v>
      </c>
    </row>
    <row r="25" spans="1:10" ht="12" customHeight="1" x14ac:dyDescent="0.2">
      <c r="A25" s="29" t="s">
        <v>29</v>
      </c>
      <c r="B25" s="32"/>
      <c r="C25" s="32"/>
      <c r="D25" s="32"/>
      <c r="E25" s="32"/>
      <c r="F25" s="32"/>
      <c r="G25" s="32"/>
      <c r="H25" s="32"/>
      <c r="I25" s="32"/>
      <c r="J25" s="33"/>
    </row>
    <row r="26" spans="1:10" ht="12" customHeight="1" x14ac:dyDescent="0.2">
      <c r="A26" s="12"/>
      <c r="B26" s="14" t="s">
        <v>30</v>
      </c>
      <c r="C26" s="14" t="s">
        <v>31</v>
      </c>
      <c r="D26" s="14" t="s">
        <v>32</v>
      </c>
      <c r="E26" s="14" t="s">
        <v>33</v>
      </c>
      <c r="F26" s="14" t="s">
        <v>34</v>
      </c>
      <c r="I26" s="9"/>
    </row>
    <row r="27" spans="1:10" ht="12" customHeight="1" x14ac:dyDescent="0.2">
      <c r="A27" s="13" t="s">
        <v>35</v>
      </c>
      <c r="B27" s="10">
        <v>1</v>
      </c>
      <c r="C27" s="10">
        <v>2</v>
      </c>
      <c r="D27" s="10">
        <v>3</v>
      </c>
      <c r="E27" s="10">
        <v>4</v>
      </c>
      <c r="F27" s="10">
        <v>5</v>
      </c>
      <c r="I27" s="9"/>
    </row>
    <row r="28" spans="1:10" ht="12" customHeight="1" x14ac:dyDescent="0.2">
      <c r="A28" s="12" t="s">
        <v>36</v>
      </c>
      <c r="B28" s="11">
        <v>1</v>
      </c>
      <c r="C28" s="11">
        <v>1</v>
      </c>
      <c r="D28" s="11">
        <v>1</v>
      </c>
      <c r="E28" s="11">
        <v>1</v>
      </c>
      <c r="F28" s="11">
        <v>1</v>
      </c>
      <c r="I28" s="9"/>
    </row>
    <row r="29" spans="1:10" ht="12" customHeight="1" x14ac:dyDescent="0.2">
      <c r="A29" s="12" t="s">
        <v>37</v>
      </c>
      <c r="B29" s="11">
        <v>2</v>
      </c>
      <c r="C29" s="11">
        <v>3</v>
      </c>
      <c r="D29" s="11">
        <v>4</v>
      </c>
      <c r="E29" s="11">
        <v>5</v>
      </c>
      <c r="F29" s="11">
        <v>6</v>
      </c>
      <c r="I29" s="9"/>
    </row>
  </sheetData>
  <sheetProtection algorithmName="SHA-512" hashValue="z9eTgV0/zozopvGyQGAocRludcIQLB5l1NpVcjnjwBcBMJQMJnR4PM3VwZgwONqhZ1MrrHLaesK7hiBrf6Az6A==" saltValue="LNQxTMLlRFIzSX0j+ysI8A==" spinCount="100000" sheet="1" objects="1" scenarios="1"/>
  <mergeCells count="10">
    <mergeCell ref="A1:J1"/>
    <mergeCell ref="B22:J22"/>
    <mergeCell ref="A23:J23"/>
    <mergeCell ref="A25:J25"/>
    <mergeCell ref="A4:H4"/>
    <mergeCell ref="A6:H6"/>
    <mergeCell ref="A9:H9"/>
    <mergeCell ref="A15:H15"/>
    <mergeCell ref="A19:H19"/>
    <mergeCell ref="A12:H12"/>
  </mergeCells>
  <phoneticPr fontId="1" type="noConversion"/>
  <dataValidations count="5">
    <dataValidation type="list" allowBlank="1" showInputMessage="1" showErrorMessage="1" sqref="D16 D5 D20 D7 D13 D10">
      <formula1>"Call,Put"</formula1>
    </dataValidation>
    <dataValidation type="list" allowBlank="1" showInputMessage="1" showErrorMessage="1" sqref="B16 B5 B20 B7 B13 B10">
      <formula1>"买入,卖出"</formula1>
    </dataValidation>
    <dataValidation type="list" allowBlank="1" showInputMessage="1" showErrorMessage="1" sqref="J11 J17 J21">
      <formula1>"期末支付,触发支付"</formula1>
    </dataValidation>
    <dataValidation type="list" allowBlank="1" showInputMessage="1" showErrorMessage="1" sqref="B11 B17 B21">
      <formula1>"down_and_out,up_and_out,down_and_in,up_and_in"</formula1>
    </dataValidation>
    <dataValidation type="list" allowBlank="1" showInputMessage="1" showErrorMessage="1" sqref="F3">
      <formula1>"美式行权,欧式行权"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Sheet2!$A$1:$A$6</xm:f>
          </x14:formula1>
          <xm:sqref>D2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赵二帅</dc:creator>
  <cp:lastModifiedBy>高怀玉</cp:lastModifiedBy>
  <dcterms:created xsi:type="dcterms:W3CDTF">2018-11-23T03:27:21Z</dcterms:created>
  <dcterms:modified xsi:type="dcterms:W3CDTF">2020-11-30T06:19:15Z</dcterms:modified>
</cp:coreProperties>
</file>